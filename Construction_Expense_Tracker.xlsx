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File_packages\"/>
    </mc:Choice>
  </mc:AlternateContent>
  <xr:revisionPtr revIDLastSave="0" documentId="13_ncr:1_{452A6F7E-7CA7-4A33-9B54-61F4D9432901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Total" sheetId="1" r:id="rId1"/>
    <sheet name="Builder" sheetId="2" r:id="rId2"/>
    <sheet name="Plumbing" sheetId="3" r:id="rId3"/>
    <sheet name="Electrician" sheetId="4" r:id="rId4"/>
    <sheet name="Others" sheetId="5" r:id="rId5"/>
    <sheet name="Tiles" sheetId="6" r:id="rId6"/>
    <sheet name="Carpenter" sheetId="7" r:id="rId7"/>
    <sheet name="Painting" sheetId="8" r:id="rId8"/>
  </sheets>
  <calcPr calcId="181029"/>
</workbook>
</file>

<file path=xl/calcChain.xml><?xml version="1.0" encoding="utf-8"?>
<calcChain xmlns="http://schemas.openxmlformats.org/spreadsheetml/2006/main">
  <c r="H1" i="8" l="1"/>
  <c r="H1" i="7"/>
  <c r="H1" i="6"/>
  <c r="H1" i="5"/>
  <c r="H1" i="4"/>
  <c r="H1" i="3"/>
  <c r="H1" i="2"/>
  <c r="B10" i="1"/>
  <c r="B9" i="1"/>
  <c r="B8" i="1"/>
  <c r="B7" i="1"/>
  <c r="B6" i="1"/>
  <c r="B5" i="1"/>
  <c r="B4" i="1"/>
  <c r="B11" i="1" l="1"/>
</calcChain>
</file>

<file path=xl/sharedStrings.xml><?xml version="1.0" encoding="utf-8"?>
<sst xmlns="http://schemas.openxmlformats.org/spreadsheetml/2006/main" count="138" uniqueCount="73">
  <si>
    <t>Construction Expense - Total</t>
  </si>
  <si>
    <t>Category</t>
  </si>
  <si>
    <t>Total Amount</t>
  </si>
  <si>
    <t>Builder</t>
  </si>
  <si>
    <t>Plumbing</t>
  </si>
  <si>
    <t>Electrician</t>
  </si>
  <si>
    <t>Others</t>
  </si>
  <si>
    <t>Tiles</t>
  </si>
  <si>
    <t>Carpenter</t>
  </si>
  <si>
    <t>Painting</t>
  </si>
  <si>
    <t>Grand Total</t>
  </si>
  <si>
    <t>Builder Expenses</t>
  </si>
  <si>
    <t>Sheet Total</t>
  </si>
  <si>
    <t>Date</t>
  </si>
  <si>
    <t>Description</t>
  </si>
  <si>
    <t>Amount (₹)</t>
  </si>
  <si>
    <t>Paid To / Person</t>
  </si>
  <si>
    <t>Notes</t>
  </si>
  <si>
    <t>Plumbing Expenses</t>
  </si>
  <si>
    <t>Electrician Expenses</t>
  </si>
  <si>
    <t>Others Expenses</t>
  </si>
  <si>
    <t>Tiles Expenses</t>
  </si>
  <si>
    <t>Carpenter Expenses</t>
  </si>
  <si>
    <t>Painting Expenses</t>
  </si>
  <si>
    <t>Builder Advance</t>
  </si>
  <si>
    <t>Saravanan</t>
  </si>
  <si>
    <t>Advance amount</t>
  </si>
  <si>
    <t>Naddar</t>
  </si>
  <si>
    <t>Broker Advance</t>
  </si>
  <si>
    <t>Sweet</t>
  </si>
  <si>
    <t>Chithi</t>
  </si>
  <si>
    <t>Bhoomi poojai Sweet Amount</t>
  </si>
  <si>
    <t>Auto</t>
  </si>
  <si>
    <t>Driver</t>
  </si>
  <si>
    <t>Car</t>
  </si>
  <si>
    <t>Food</t>
  </si>
  <si>
    <t>Bhoomi poojai</t>
  </si>
  <si>
    <t>Breakfast</t>
  </si>
  <si>
    <t>Milk</t>
  </si>
  <si>
    <t>Before construction work</t>
  </si>
  <si>
    <t>Function Things</t>
  </si>
  <si>
    <t>Bhoomi poojai related items amount</t>
  </si>
  <si>
    <t>EB</t>
  </si>
  <si>
    <t>Current EB online payment</t>
  </si>
  <si>
    <t>EB Stamp Paper</t>
  </si>
  <si>
    <t>EB Service Wire</t>
  </si>
  <si>
    <t>Wire man</t>
  </si>
  <si>
    <t>Kallu Oddacha coolie</t>
  </si>
  <si>
    <t>JCB Rent</t>
  </si>
  <si>
    <t>Drinks</t>
  </si>
  <si>
    <t>JCB person juice amount</t>
  </si>
  <si>
    <t>Brick</t>
  </si>
  <si>
    <t>11.70*5630 = 65871 + 300 (Tea)</t>
  </si>
  <si>
    <t>Electrician related thinks</t>
  </si>
  <si>
    <t>Angappan</t>
  </si>
  <si>
    <t>Wire,EB board and Tripper</t>
  </si>
  <si>
    <t xml:space="preserve">Food </t>
  </si>
  <si>
    <t>Food for Electrician and Plumbing</t>
  </si>
  <si>
    <t>Pipe and motor related thinks</t>
  </si>
  <si>
    <t>Raja</t>
  </si>
  <si>
    <t>Uttertech Cement</t>
  </si>
  <si>
    <t>Stone Jelly 3/4</t>
  </si>
  <si>
    <t>Stone Jelly 1/2</t>
  </si>
  <si>
    <t>ARS Steel 10 mm</t>
  </si>
  <si>
    <t>ARS Steel 10 mm 21 Nos</t>
  </si>
  <si>
    <t>ARS Steel 12 mm</t>
  </si>
  <si>
    <t>ARS Steel 11 mm 55 Nos</t>
  </si>
  <si>
    <t>ARS Steel 7 * 7</t>
  </si>
  <si>
    <t>ARS Steel 7 * 7  -&gt; 350 Nos</t>
  </si>
  <si>
    <t>ARS Steel 10 * 7</t>
  </si>
  <si>
    <t>ARS Steel 10 * 7  -&gt; 350 Nos</t>
  </si>
  <si>
    <t>Binding Wire 10kg</t>
  </si>
  <si>
    <t>Delivery Charges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</si>
</sst>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dd\-mm\-yyyy"/>
  </numFmts>
  <fonts count="6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3" fillId="0" borderId="1" xfId="0" applyFont="1" applyBorder="1"/>
    <xf numFmtId="164" fontId="3" fillId="0" borderId="1" xfId="0" applyNumberFormat="1" applyFont="1" applyBorder="1"/>
    <xf numFmtId="0" fontId="2" fillId="0" borderId="0" xfId="0" applyFont="1"/>
    <xf numFmtId="164" fontId="3" fillId="0" borderId="0" xfId="0" applyNumberFormat="1" applyFont="1"/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5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ilderExpenses" displayName="BuilderExpenses" ref="A3:E1003">
  <autoFilter ref="A3:E1003" xr:uid="{00000000-0009-0000-0100-000001000000}"/>
  <tableColumns count="5">
    <tableColumn id="1" xr3:uid="{00000000-0010-0000-0000-000001000000}" name="Date"/>
    <tableColumn id="2" xr3:uid="{00000000-0010-0000-0000-000002000000}" name="Description"/>
    <tableColumn id="3" xr3:uid="{00000000-0010-0000-0000-000003000000}" name="Amount (₹)"/>
    <tableColumn id="4" xr3:uid="{00000000-0010-0000-0000-000004000000}" name="Paid To / Person"/>
    <tableColumn id="5" xr3:uid="{00000000-0010-0000-0000-000005000000}" name="Notes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umbingExpenses" displayName="PlumbingExpenses" ref="A3:E1003">
  <autoFilter ref="A3:E1003" xr:uid="{00000000-0009-0000-0100-000002000000}"/>
  <tableColumns count="5">
    <tableColumn id="1" xr3:uid="{00000000-0010-0000-0100-000001000000}" name="Date"/>
    <tableColumn id="2" xr3:uid="{00000000-0010-0000-0100-000002000000}" name="Description"/>
    <tableColumn id="3" xr3:uid="{00000000-0010-0000-0100-000003000000}" name="Amount (₹)"/>
    <tableColumn id="4" xr3:uid="{00000000-0010-0000-0100-000004000000}" name="Paid To / Person"/>
    <tableColumn id="5" xr3:uid="{00000000-0010-0000-0100-000005000000}" name="Notes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lectricianExpenses" displayName="ElectricianExpenses" ref="A3:E1003">
  <autoFilter ref="A3:E1003" xr:uid="{00000000-0009-0000-0100-000003000000}"/>
  <tableColumns count="5">
    <tableColumn id="1" xr3:uid="{00000000-0010-0000-0200-000001000000}" name="Date"/>
    <tableColumn id="2" xr3:uid="{00000000-0010-0000-0200-000002000000}" name="Description"/>
    <tableColumn id="3" xr3:uid="{00000000-0010-0000-0200-000003000000}" name="Amount (₹)"/>
    <tableColumn id="4" xr3:uid="{00000000-0010-0000-0200-000004000000}" name="Paid To / Person"/>
    <tableColumn id="5" xr3:uid="{00000000-0010-0000-0200-000005000000}" name="Note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thersExpenses" displayName="OthersExpenses" ref="A3:E1003">
  <autoFilter ref="A3:E1003" xr:uid="{00000000-0009-0000-0100-000004000000}"/>
  <tableColumns count="5">
    <tableColumn id="1" xr3:uid="{00000000-0010-0000-0300-000001000000}" name="Date"/>
    <tableColumn id="2" xr3:uid="{00000000-0010-0000-0300-000002000000}" name="Description"/>
    <tableColumn id="3" xr3:uid="{00000000-0010-0000-0300-000003000000}" name="Amount (₹)"/>
    <tableColumn id="4" xr3:uid="{00000000-0010-0000-0300-000004000000}" name="Paid To / Person"/>
    <tableColumn id="5" xr3:uid="{00000000-0010-0000-0300-000005000000}" name="Notes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lesExpenses" displayName="TilesExpenses" ref="A3:E1003">
  <autoFilter ref="A3:E1003" xr:uid="{00000000-0009-0000-0100-000005000000}"/>
  <tableColumns count="5">
    <tableColumn id="1" xr3:uid="{00000000-0010-0000-0400-000001000000}" name="Date"/>
    <tableColumn id="2" xr3:uid="{00000000-0010-0000-0400-000002000000}" name="Description"/>
    <tableColumn id="3" xr3:uid="{00000000-0010-0000-0400-000003000000}" name="Amount (₹)"/>
    <tableColumn id="4" xr3:uid="{00000000-0010-0000-0400-000004000000}" name="Paid To / Person"/>
    <tableColumn id="5" xr3:uid="{00000000-0010-0000-0400-000005000000}" name="Note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arpenterExpenses" displayName="CarpenterExpenses" ref="A3:E1003">
  <autoFilter ref="A3:E1003" xr:uid="{00000000-0009-0000-0100-000006000000}"/>
  <tableColumns count="5">
    <tableColumn id="1" xr3:uid="{00000000-0010-0000-0500-000001000000}" name="Date"/>
    <tableColumn id="2" xr3:uid="{00000000-0010-0000-0500-000002000000}" name="Description"/>
    <tableColumn id="3" xr3:uid="{00000000-0010-0000-0500-000003000000}" name="Amount (₹)"/>
    <tableColumn id="4" xr3:uid="{00000000-0010-0000-0500-000004000000}" name="Paid To / Person"/>
    <tableColumn id="5" xr3:uid="{00000000-0010-0000-0500-000005000000}" name="Notes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intingExpenses" displayName="PaintingExpenses" ref="A3:E1003">
  <autoFilter ref="A3:E1003" xr:uid="{00000000-0009-0000-0100-000007000000}"/>
  <tableColumns count="5">
    <tableColumn id="1" xr3:uid="{00000000-0010-0000-0600-000001000000}" name="Date"/>
    <tableColumn id="2" xr3:uid="{00000000-0010-0000-0600-000002000000}" name="Description"/>
    <tableColumn id="3" xr3:uid="{00000000-0010-0000-0600-000003000000}" name="Amount (₹)"/>
    <tableColumn id="4" xr3:uid="{00000000-0010-0000-0600-000004000000}" name="Paid To / Person"/>
    <tableColumn id="5" xr3:uid="{00000000-0010-0000-0600-000005000000}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pane ySplit="3" topLeftCell="A4" activePane="bottomLeft" state="frozen"/>
      <selection pane="bottomLeft" activeCell="D15" sqref="D15"/>
    </sheetView>
  </sheetViews>
  <sheetFormatPr defaultRowHeight="15" x14ac:dyDescent="0.25"/>
  <cols>
    <col min="1" max="2" width="22" customWidth="1"/>
  </cols>
  <sheetData>
    <row r="1" spans="1:2" ht="23.25" x14ac:dyDescent="0.35">
      <c r="A1" s="11" t="s">
        <v>0</v>
      </c>
      <c r="B1" s="12"/>
    </row>
    <row r="3" spans="1:2" x14ac:dyDescent="0.25">
      <c r="A3" s="1" t="s">
        <v>1</v>
      </c>
      <c r="B3" s="1" t="s">
        <v>2</v>
      </c>
    </row>
    <row r="4" spans="1:2" x14ac:dyDescent="0.25">
      <c r="A4" s="2" t="s">
        <v>3</v>
      </c>
      <c r="B4" s="3">
        <f>SUM(Builder!C4:C1003)</f>
        <v>208074</v>
      </c>
    </row>
    <row r="5" spans="1:2" x14ac:dyDescent="0.25">
      <c r="A5" s="2" t="s">
        <v>4</v>
      </c>
      <c r="B5" s="3">
        <f>SUM(Plumbing!C4:C1003)</f>
        <v>2855</v>
      </c>
    </row>
    <row r="6" spans="1:2" x14ac:dyDescent="0.25">
      <c r="A6" s="2" t="s">
        <v>5</v>
      </c>
      <c r="B6" s="3">
        <f>SUM(Electrician!C4:C1003)</f>
        <v>1200</v>
      </c>
    </row>
    <row r="7" spans="1:2" x14ac:dyDescent="0.25">
      <c r="A7" s="2" t="s">
        <v>6</v>
      </c>
      <c r="B7" s="3">
        <f>SUM(Others!C4:C1003)</f>
        <v>12765</v>
      </c>
    </row>
    <row r="8" spans="1:2" x14ac:dyDescent="0.25">
      <c r="A8" s="2" t="s">
        <v>7</v>
      </c>
      <c r="B8" s="3">
        <f>SUM(Tiles!C4:C1003)</f>
        <v>0</v>
      </c>
    </row>
    <row r="9" spans="1:2" x14ac:dyDescent="0.25">
      <c r="A9" s="2" t="s">
        <v>8</v>
      </c>
      <c r="B9" s="3">
        <f>SUM(Carpenter!C4:C1003)</f>
        <v>0</v>
      </c>
    </row>
    <row r="10" spans="1:2" x14ac:dyDescent="0.25">
      <c r="A10" s="2" t="s">
        <v>9</v>
      </c>
      <c r="B10" s="3">
        <f>SUM(Painting!C4:C1003)</f>
        <v>0</v>
      </c>
    </row>
    <row r="11" spans="1:2" ht="15.75" x14ac:dyDescent="0.25">
      <c r="A11" s="4" t="s">
        <v>10</v>
      </c>
      <c r="B11" s="5">
        <f>SUM(B4:B10)</f>
        <v>224894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3"/>
  <sheetViews>
    <sheetView tabSelected="1" workbookViewId="0">
      <pane ySplit="3" topLeftCell="A4" activePane="bottomLeft" state="frozen"/>
      <selection pane="bottomLeft" activeCell="E18" sqref="E18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11</v>
      </c>
      <c r="B1" s="12"/>
      <c r="C1" s="12"/>
      <c r="D1" s="12"/>
      <c r="E1" s="12"/>
      <c r="G1" s="6" t="s">
        <v>12</v>
      </c>
      <c r="H1" s="7">
        <f>SUM(C4:C1003)</f>
        <v>208074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46250</v>
      </c>
      <c r="B4" t="s">
        <v>24</v>
      </c>
      <c r="C4" s="9">
        <v>1500</v>
      </c>
      <c r="D4" t="s">
        <v>25</v>
      </c>
      <c r="E4" t="s">
        <v>39</v>
      </c>
    </row>
    <row r="5" spans="1:8" x14ac:dyDescent="0.25">
      <c r="A5" s="8">
        <v>46236</v>
      </c>
      <c r="B5" t="s">
        <v>24</v>
      </c>
      <c r="C5" s="9">
        <v>5000</v>
      </c>
      <c r="D5" t="s">
        <v>25</v>
      </c>
      <c r="E5" t="s">
        <v>26</v>
      </c>
    </row>
    <row r="6" spans="1:8" x14ac:dyDescent="0.25">
      <c r="A6" s="8">
        <v>46257</v>
      </c>
      <c r="B6" t="s">
        <v>24</v>
      </c>
      <c r="C6" s="9">
        <v>15000</v>
      </c>
      <c r="D6" t="s">
        <v>25</v>
      </c>
      <c r="E6" t="s">
        <v>26</v>
      </c>
    </row>
    <row r="7" spans="1:8" x14ac:dyDescent="0.25">
      <c r="A7" s="8">
        <v>46257</v>
      </c>
      <c r="B7" t="s">
        <v>24</v>
      </c>
      <c r="C7" s="9">
        <v>501</v>
      </c>
      <c r="D7" t="s">
        <v>25</v>
      </c>
      <c r="E7" t="s">
        <v>26</v>
      </c>
    </row>
    <row r="8" spans="1:8" x14ac:dyDescent="0.25">
      <c r="A8" s="8">
        <v>46257</v>
      </c>
      <c r="B8" t="s">
        <v>28</v>
      </c>
      <c r="C8" s="9">
        <v>500</v>
      </c>
      <c r="D8" t="s">
        <v>27</v>
      </c>
      <c r="E8" t="s">
        <v>28</v>
      </c>
    </row>
    <row r="9" spans="1:8" x14ac:dyDescent="0.25">
      <c r="A9" s="10">
        <v>46264</v>
      </c>
      <c r="B9" t="s">
        <v>51</v>
      </c>
      <c r="C9" s="9">
        <v>66171</v>
      </c>
      <c r="D9" t="s">
        <v>25</v>
      </c>
      <c r="E9" t="s">
        <v>52</v>
      </c>
    </row>
    <row r="10" spans="1:8" x14ac:dyDescent="0.25">
      <c r="A10" s="10">
        <v>46265</v>
      </c>
      <c r="B10" t="s">
        <v>60</v>
      </c>
      <c r="C10" s="9">
        <v>33000</v>
      </c>
      <c r="D10" t="s">
        <v>25</v>
      </c>
    </row>
    <row r="11" spans="1:8" x14ac:dyDescent="0.25">
      <c r="A11" s="10">
        <v>46265</v>
      </c>
      <c r="B11" t="s">
        <v>61</v>
      </c>
      <c r="C11" s="9">
        <v>16000</v>
      </c>
      <c r="D11" t="s">
        <v>25</v>
      </c>
    </row>
    <row r="12" spans="1:8" x14ac:dyDescent="0.25">
      <c r="A12" s="10">
        <v>46265</v>
      </c>
      <c r="B12" t="s">
        <v>62</v>
      </c>
      <c r="C12" s="9">
        <v>5500</v>
      </c>
      <c r="D12" t="s">
        <v>25</v>
      </c>
    </row>
    <row r="13" spans="1:8" x14ac:dyDescent="0.25">
      <c r="A13" s="10">
        <v>46265</v>
      </c>
      <c r="B13" t="s">
        <v>63</v>
      </c>
      <c r="C13" s="9">
        <v>9825</v>
      </c>
      <c r="D13" t="s">
        <v>25</v>
      </c>
      <c r="E13" t="s">
        <v>64</v>
      </c>
    </row>
    <row r="14" spans="1:8" x14ac:dyDescent="0.25">
      <c r="A14" s="10">
        <v>46265</v>
      </c>
      <c r="B14" t="s">
        <v>65</v>
      </c>
      <c r="C14" s="9">
        <v>37237</v>
      </c>
      <c r="D14" t="s">
        <v>25</v>
      </c>
      <c r="E14" t="s">
        <v>66</v>
      </c>
    </row>
    <row r="15" spans="1:8" x14ac:dyDescent="0.25">
      <c r="A15" s="10">
        <v>46265</v>
      </c>
      <c r="B15" t="s">
        <v>67</v>
      </c>
      <c r="C15" s="9">
        <v>7618</v>
      </c>
      <c r="D15" t="s">
        <v>25</v>
      </c>
      <c r="E15" t="s">
        <v>68</v>
      </c>
    </row>
    <row r="16" spans="1:8" x14ac:dyDescent="0.25">
      <c r="A16" s="10">
        <v>46265</v>
      </c>
      <c r="B16" t="s">
        <v>69</v>
      </c>
      <c r="C16" s="9">
        <v>8872</v>
      </c>
      <c r="D16" t="s">
        <v>25</v>
      </c>
      <c r="E16" t="s">
        <v>70</v>
      </c>
    </row>
    <row r="17" spans="1:3" x14ac:dyDescent="0.25">
      <c r="A17" s="10">
        <v>46265</v>
      </c>
      <c r="B17" t="s">
        <v>71</v>
      </c>
      <c r="C17" s="9">
        <v>1100</v>
      </c>
    </row>
    <row r="18" spans="1:3" x14ac:dyDescent="0.25">
      <c r="A18" s="10">
        <v>46265</v>
      </c>
      <c r="B18" t="s">
        <v>72</v>
      </c>
      <c r="C18" s="9">
        <v>250</v>
      </c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3"/>
  <sheetViews>
    <sheetView workbookViewId="0">
      <pane ySplit="3" topLeftCell="A4" activePane="bottomLeft" state="frozen"/>
      <selection pane="bottomLeft" activeCell="E4" sqref="E4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18</v>
      </c>
      <c r="B1" s="12"/>
      <c r="C1" s="12"/>
      <c r="D1" s="12"/>
      <c r="E1" s="12"/>
      <c r="G1" s="6" t="s">
        <v>12</v>
      </c>
      <c r="H1" s="7">
        <f>SUM(C4:C1003)</f>
        <v>2855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58</v>
      </c>
      <c r="C4" s="9">
        <v>2855</v>
      </c>
      <c r="D4" t="s">
        <v>59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3"/>
  <sheetViews>
    <sheetView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19</v>
      </c>
      <c r="B1" s="12"/>
      <c r="C1" s="12"/>
      <c r="D1" s="12"/>
      <c r="E1" s="12"/>
      <c r="G1" s="6" t="s">
        <v>12</v>
      </c>
      <c r="H1" s="7">
        <f>SUM(C4:C1003)</f>
        <v>1200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53</v>
      </c>
      <c r="C4" s="9">
        <v>1200</v>
      </c>
      <c r="D4" t="s">
        <v>54</v>
      </c>
      <c r="E4" t="s">
        <v>55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3"/>
  <sheetViews>
    <sheetView workbookViewId="0">
      <pane ySplit="3" topLeftCell="A4" activePane="bottomLeft" state="frozen"/>
      <selection pane="bottomLeft" activeCell="A18" sqref="A18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20</v>
      </c>
      <c r="B1" s="12"/>
      <c r="C1" s="12"/>
      <c r="D1" s="12"/>
      <c r="E1" s="12"/>
      <c r="G1" s="6" t="s">
        <v>12</v>
      </c>
      <c r="H1" s="7">
        <f>SUM(C4:C1003)</f>
        <v>12765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46257</v>
      </c>
      <c r="B4" t="s">
        <v>29</v>
      </c>
      <c r="C4" s="9">
        <v>600</v>
      </c>
      <c r="D4" t="s">
        <v>30</v>
      </c>
      <c r="E4" t="s">
        <v>31</v>
      </c>
    </row>
    <row r="5" spans="1:8" x14ac:dyDescent="0.25">
      <c r="A5" s="8">
        <v>46257</v>
      </c>
      <c r="B5" t="s">
        <v>32</v>
      </c>
      <c r="C5" s="9">
        <v>200</v>
      </c>
      <c r="D5" t="s">
        <v>33</v>
      </c>
      <c r="E5" t="s">
        <v>36</v>
      </c>
    </row>
    <row r="6" spans="1:8" x14ac:dyDescent="0.25">
      <c r="A6" s="8">
        <v>46257</v>
      </c>
      <c r="B6" t="s">
        <v>34</v>
      </c>
      <c r="C6" s="9">
        <v>250</v>
      </c>
      <c r="D6" t="s">
        <v>33</v>
      </c>
      <c r="E6" t="s">
        <v>36</v>
      </c>
    </row>
    <row r="7" spans="1:8" x14ac:dyDescent="0.25">
      <c r="A7" s="8">
        <v>46257</v>
      </c>
      <c r="B7" t="s">
        <v>35</v>
      </c>
      <c r="C7" s="9">
        <v>280</v>
      </c>
      <c r="D7" t="s">
        <v>37</v>
      </c>
      <c r="E7" t="s">
        <v>36</v>
      </c>
    </row>
    <row r="8" spans="1:8" x14ac:dyDescent="0.25">
      <c r="A8" s="8">
        <v>46257</v>
      </c>
      <c r="B8" t="s">
        <v>35</v>
      </c>
      <c r="C8" s="9">
        <v>1500</v>
      </c>
      <c r="D8" t="s">
        <v>37</v>
      </c>
      <c r="E8" t="s">
        <v>36</v>
      </c>
    </row>
    <row r="9" spans="1:8" x14ac:dyDescent="0.25">
      <c r="A9" s="8">
        <v>46257</v>
      </c>
      <c r="B9" t="s">
        <v>38</v>
      </c>
      <c r="C9" s="9">
        <v>40</v>
      </c>
      <c r="E9" t="s">
        <v>36</v>
      </c>
    </row>
    <row r="10" spans="1:8" x14ac:dyDescent="0.25">
      <c r="A10" s="8">
        <v>46256</v>
      </c>
      <c r="B10" t="s">
        <v>40</v>
      </c>
      <c r="C10" s="9">
        <v>670</v>
      </c>
      <c r="E10" t="s">
        <v>41</v>
      </c>
    </row>
    <row r="11" spans="1:8" x14ac:dyDescent="0.25">
      <c r="A11" s="8">
        <v>46260</v>
      </c>
      <c r="B11" t="s">
        <v>42</v>
      </c>
      <c r="C11" s="9">
        <v>1600</v>
      </c>
      <c r="E11" t="s">
        <v>43</v>
      </c>
    </row>
    <row r="12" spans="1:8" x14ac:dyDescent="0.25">
      <c r="A12" s="8">
        <v>46260</v>
      </c>
      <c r="B12" t="s">
        <v>44</v>
      </c>
      <c r="C12" s="9">
        <v>500</v>
      </c>
      <c r="E12" t="s">
        <v>44</v>
      </c>
    </row>
    <row r="13" spans="1:8" x14ac:dyDescent="0.25">
      <c r="A13" s="8">
        <v>46261</v>
      </c>
      <c r="B13" t="s">
        <v>45</v>
      </c>
      <c r="C13" s="9">
        <v>900</v>
      </c>
      <c r="E13" t="s">
        <v>45</v>
      </c>
    </row>
    <row r="14" spans="1:8" x14ac:dyDescent="0.25">
      <c r="A14" s="8">
        <v>46261</v>
      </c>
      <c r="B14" t="s">
        <v>46</v>
      </c>
      <c r="C14" s="9">
        <v>500</v>
      </c>
      <c r="E14" t="s">
        <v>46</v>
      </c>
    </row>
    <row r="15" spans="1:8" x14ac:dyDescent="0.25">
      <c r="A15" s="8">
        <v>46262</v>
      </c>
      <c r="B15" t="s">
        <v>47</v>
      </c>
      <c r="C15" s="9">
        <v>1800</v>
      </c>
      <c r="E15" t="s">
        <v>47</v>
      </c>
    </row>
    <row r="16" spans="1:8" x14ac:dyDescent="0.25">
      <c r="A16" s="8">
        <v>46263</v>
      </c>
      <c r="B16" t="s">
        <v>48</v>
      </c>
      <c r="C16" s="9">
        <v>3500</v>
      </c>
      <c r="E16" t="s">
        <v>48</v>
      </c>
    </row>
    <row r="17" spans="1:5" x14ac:dyDescent="0.25">
      <c r="A17" s="8">
        <v>46263</v>
      </c>
      <c r="B17" t="s">
        <v>49</v>
      </c>
      <c r="C17" s="9">
        <v>145</v>
      </c>
      <c r="E17" t="s">
        <v>50</v>
      </c>
    </row>
    <row r="18" spans="1:5" x14ac:dyDescent="0.25">
      <c r="A18" s="10">
        <v>46264</v>
      </c>
      <c r="B18" t="s">
        <v>56</v>
      </c>
      <c r="C18" s="9">
        <v>280</v>
      </c>
      <c r="E18" t="s">
        <v>57</v>
      </c>
    </row>
    <row r="19" spans="1:5" x14ac:dyDescent="0.25">
      <c r="A19" s="8"/>
      <c r="C19" s="9"/>
    </row>
    <row r="20" spans="1:5" x14ac:dyDescent="0.25">
      <c r="A20" s="8"/>
      <c r="C20" s="9"/>
    </row>
    <row r="21" spans="1:5" x14ac:dyDescent="0.25">
      <c r="A21" s="8"/>
      <c r="C21" s="9"/>
    </row>
    <row r="22" spans="1:5" x14ac:dyDescent="0.25">
      <c r="A22" s="8"/>
      <c r="C22" s="9"/>
    </row>
    <row r="23" spans="1:5" x14ac:dyDescent="0.25">
      <c r="A23" s="8"/>
      <c r="C23" s="9"/>
    </row>
    <row r="24" spans="1:5" x14ac:dyDescent="0.25">
      <c r="A24" s="8"/>
      <c r="C24" s="9"/>
    </row>
    <row r="25" spans="1:5" x14ac:dyDescent="0.25">
      <c r="A25" s="8"/>
      <c r="C25" s="9"/>
    </row>
    <row r="26" spans="1:5" x14ac:dyDescent="0.25">
      <c r="A26" s="8"/>
      <c r="C26" s="9"/>
    </row>
    <row r="27" spans="1:5" x14ac:dyDescent="0.25">
      <c r="A27" s="8"/>
      <c r="C27" s="9"/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21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22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23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Total</vt:lpstr>
      <vt:lpstr>Builder</vt:lpstr>
      <vt:lpstr>Plumbing</vt:lpstr>
      <vt:lpstr>Electrician</vt:lpstr>
      <vt:lpstr>Others</vt:lpstr>
      <vt:lpstr>Tiles</vt:lpstr>
      <vt:lpstr>Carpenter</vt:lpstr>
      <vt:lpstr>Painting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P</cp:lastModifiedBy>
  <dcterms:created xsi:type="dcterms:W3CDTF">2026-08-29T15:03:49Z</dcterms:created>
  <dcterms:modified xsi:type="dcterms:W3CDTF">2026-09-01T13:22:33Z</dcterms:modified>
</cp:coreProperties>
</file>