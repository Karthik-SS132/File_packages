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DD544009-FBCF-43F2-A9FE-7555D7EA853D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Total" sheetId="1" r:id="rId1"/>
    <sheet name="Builder" sheetId="2" r:id="rId2"/>
    <sheet name="Material" sheetId="10" r:id="rId3"/>
    <sheet name="Plumbing" sheetId="3" r:id="rId4"/>
    <sheet name="Electrician" sheetId="4" r:id="rId5"/>
    <sheet name="Others" sheetId="5" r:id="rId6"/>
    <sheet name="Tiles" sheetId="6" r:id="rId7"/>
    <sheet name="Carpenter" sheetId="7" r:id="rId8"/>
    <sheet name="Painting" sheetId="8" r:id="rId9"/>
  </sheets>
  <calcPr calcId="181029"/>
</workbook>
</file>

<file path=xl/calcChain.xml><?xml version="1.0" encoding="utf-8"?>
<calcChain xmlns="http://schemas.openxmlformats.org/spreadsheetml/2006/main">
  <c r="B10" i="1" l="1"/>
  <c r="H1" i="10"/>
  <c r="H1" i="8"/>
  <c r="H1" i="7"/>
  <c r="H1" i="6"/>
  <c r="H1" i="5"/>
  <c r="H1" i="4"/>
  <c r="H1" i="3"/>
  <c r="H1" i="2"/>
  <c r="B11" i="1"/>
  <c r="B9" i="1"/>
  <c r="B8" i="1"/>
  <c r="B7" i="1"/>
  <c r="B6" i="1"/>
  <c r="B5" i="1"/>
  <c r="B4" i="1"/>
  <c r="B12" i="1" l="1"/>
</calcChain>
</file>

<file path=xl/sharedStrings.xml><?xml version="1.0" encoding="utf-8"?>
<sst xmlns="http://schemas.openxmlformats.org/spreadsheetml/2006/main" count="177" uniqueCount="86">
  <si>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</si>
  <si>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</si>
  <si>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</si>
  <si>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</si>
  <si>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</si>
  <si>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</si>
  <si>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</si>
  <si>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</si>
  <si>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</si>
  <si>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</si>
  <si>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</si>
  <si>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</si>
  <si>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</si>
  <si>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</si>
  <si>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</si>
  <si>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</si>
  <si>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</si>
  <si>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</si>
  <si>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</si>
  <si>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</si>
  <si>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</si>
  <si>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</si>
  <si>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</si>
  <si>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</si>
  <si>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</si>
  <si>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</si>
  <si>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</si>
  <si>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</si>
  <si>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</si>
  <si>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</si>
  <si>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</si>
  <si>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</si>
  <si>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</si>
  <si>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</si>
  <si>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</si>
  <si>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</si>
  <si>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</si>
  <si>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</si>
  <si>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</si>
  <si>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</si>
  <si>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</si>
  <si>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</si>
  <si>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</si>
  <si>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</si>
  <si>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</si>
  <si>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</si>
  <si>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</si>
  <si>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</si>
  <si>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</si>
  <si>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</si>
  <si>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</si>
  <si>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</si>
  <si>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</si>
  <si>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</si>
  <si>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</si>
  <si>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</si>
  <si>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</si>
  <si>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</si>
  <si>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</si>
  <si>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</si>
  <si>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</si>
  <si>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</si>
  <si>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</si>
  <si>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</si>
  <si>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</si>
  <si>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</si>
  <si>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</si>
  <si>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</si>
  <si>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</si>
  <si>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</si>
  <si>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</si>
  <si>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</si>
  <si>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Advance</t>
  </si>
  <si>
    <t>Kuzhi thonda advance</t>
  </si>
  <si>
    <t>Tea</t>
  </si>
  <si>
    <t>River Sand</t>
  </si>
  <si>
    <t>Basement Jalli concreate</t>
  </si>
  <si>
    <t>3000 (cash)+6000 (gpay)</t>
  </si>
  <si>
    <t>Material</t>
  </si>
  <si>
    <t>Drum</t>
  </si>
  <si>
    <t>Petrol</t>
  </si>
  <si>
    <t>Material Expenses</t>
  </si>
  <si>
    <t>Wall Black Patti</t>
  </si>
  <si>
    <t>Cash</t>
  </si>
  <si>
    <t>Kadappa Kallu</t>
  </si>
  <si>
    <t>Advance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</si>
</sst>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991">
  <autoFilter ref="A3:E991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579A7-CB98-4AC7-A10A-4A4143353915}" name="BuilderExpenses10" displayName="BuilderExpenses10" ref="A3:E991">
  <autoFilter ref="A3:E991" xr:uid="{00000000-0009-0000-0100-000001000000}"/>
  <tableColumns count="5">
    <tableColumn id="1" xr3:uid="{6600173D-36CF-4A3E-970A-2FDD894C717E}" name="Date"/>
    <tableColumn id="2" xr3:uid="{FADF7E83-1871-4EAC-B69F-6F1FC93E7F58}" name="Description"/>
    <tableColumn id="3" xr3:uid="{14A169E8-D490-498C-AA3F-1A3F0CAAFE1A}" name="Amount (₹)"/>
    <tableColumn id="4" xr3:uid="{13070CE0-8826-4392-99E0-C80D50AA2E83}" name="Paid To / Person"/>
    <tableColumn id="5" xr3:uid="{588019B7-1BB6-42EC-AC99-A3EEB6BBEC3B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pane ySplit="3" topLeftCell="A4" activePane="bottomLeft" state="frozen"/>
      <selection pane="bottomLeft" activeCell="B10" sqref="B10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SUM(Builder!C4:C991)</f>
        <v>102101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1200</v>
      </c>
    </row>
    <row r="7" spans="1:2" x14ac:dyDescent="0.25">
      <c r="A7" s="2" t="s">
        <v>6</v>
      </c>
      <c r="B7" s="3">
        <f>SUM(Others!C4:C1003)</f>
        <v>15592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78</v>
      </c>
      <c r="B10" s="3">
        <f>SUM(Material!C4:C992)</f>
        <v>321823</v>
      </c>
    </row>
    <row r="11" spans="1:2" x14ac:dyDescent="0.25">
      <c r="A11" s="2" t="s">
        <v>9</v>
      </c>
      <c r="B11" s="3">
        <f>SUM(Painting!C4:C1003)</f>
        <v>0</v>
      </c>
    </row>
    <row r="12" spans="1:2" ht="15.75" x14ac:dyDescent="0.25">
      <c r="A12" s="4" t="s">
        <v>10</v>
      </c>
      <c r="B12" s="5">
        <f>SUM(B4:B11)</f>
        <v>443571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1"/>
  <sheetViews>
    <sheetView workbookViewId="0">
      <pane ySplit="3" topLeftCell="A4" activePane="bottomLeft" state="frozen"/>
      <selection pane="bottomLeft" activeCell="C13" sqref="C13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SUM(C4:C991)</f>
        <v>102101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10">
        <v>46267</v>
      </c>
      <c r="B8" t="s">
        <v>72</v>
      </c>
      <c r="C8" s="9">
        <v>1000</v>
      </c>
      <c r="D8" t="s">
        <v>25</v>
      </c>
      <c r="E8" t="s">
        <v>73</v>
      </c>
    </row>
    <row r="9" spans="1:8" x14ac:dyDescent="0.25">
      <c r="A9" s="10">
        <v>46268</v>
      </c>
      <c r="B9" t="s">
        <v>76</v>
      </c>
      <c r="C9" s="9">
        <v>100</v>
      </c>
      <c r="D9" t="s">
        <v>25</v>
      </c>
    </row>
    <row r="10" spans="1:8" x14ac:dyDescent="0.25">
      <c r="A10" s="10">
        <v>46268</v>
      </c>
      <c r="B10" t="s">
        <v>25</v>
      </c>
      <c r="C10" s="9">
        <v>9000</v>
      </c>
      <c r="D10" t="s">
        <v>25</v>
      </c>
      <c r="E10" t="s">
        <v>77</v>
      </c>
    </row>
    <row r="11" spans="1:8" x14ac:dyDescent="0.25">
      <c r="A11" s="10">
        <v>46269</v>
      </c>
      <c r="B11" t="s">
        <v>25</v>
      </c>
      <c r="C11" s="9">
        <v>6000</v>
      </c>
      <c r="D11" t="s">
        <v>25</v>
      </c>
    </row>
    <row r="12" spans="1:8" x14ac:dyDescent="0.25">
      <c r="A12" s="10">
        <v>46270</v>
      </c>
      <c r="B12" t="s">
        <v>25</v>
      </c>
      <c r="C12" s="9">
        <v>5000</v>
      </c>
      <c r="D12" t="s">
        <v>25</v>
      </c>
    </row>
    <row r="13" spans="1:8" x14ac:dyDescent="0.25">
      <c r="A13" s="10">
        <v>46271</v>
      </c>
      <c r="B13" t="s">
        <v>25</v>
      </c>
      <c r="C13" s="9">
        <v>17000</v>
      </c>
      <c r="D13" t="s">
        <v>25</v>
      </c>
    </row>
    <row r="14" spans="1:8" x14ac:dyDescent="0.25">
      <c r="A14" s="8">
        <v>46278</v>
      </c>
      <c r="B14" t="s">
        <v>25</v>
      </c>
      <c r="C14" s="9">
        <v>42000</v>
      </c>
      <c r="D14" t="s">
        <v>25</v>
      </c>
      <c r="E14" t="s">
        <v>83</v>
      </c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2FFF6-C899-4BF3-A6DD-2FBAF04F4054}">
  <dimension ref="A1:H991"/>
  <sheetViews>
    <sheetView workbookViewId="0">
      <pane ySplit="3" topLeftCell="A4" activePane="bottomLeft" state="frozen"/>
      <selection pane="bottomLeft" activeCell="G12" sqref="G12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81</v>
      </c>
      <c r="B1" s="12"/>
      <c r="C1" s="12"/>
      <c r="D1" s="12"/>
      <c r="E1" s="12"/>
      <c r="G1" s="6" t="s">
        <v>12</v>
      </c>
      <c r="H1" s="7">
        <f>SUM(C4:C991)</f>
        <v>321823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51</v>
      </c>
      <c r="C4" s="9">
        <v>66171</v>
      </c>
      <c r="E4" t="s">
        <v>52</v>
      </c>
    </row>
    <row r="5" spans="1:8" x14ac:dyDescent="0.25">
      <c r="A5" s="10">
        <v>46265</v>
      </c>
      <c r="B5" t="s">
        <v>60</v>
      </c>
      <c r="C5" s="9">
        <v>33000</v>
      </c>
    </row>
    <row r="6" spans="1:8" x14ac:dyDescent="0.25">
      <c r="A6" s="10">
        <v>46265</v>
      </c>
      <c r="B6" t="s">
        <v>61</v>
      </c>
      <c r="C6" s="9">
        <v>16000</v>
      </c>
    </row>
    <row r="7" spans="1:8" x14ac:dyDescent="0.25">
      <c r="A7" s="10">
        <v>46265</v>
      </c>
      <c r="B7" t="s">
        <v>62</v>
      </c>
      <c r="C7" s="9">
        <v>5500</v>
      </c>
    </row>
    <row r="8" spans="1:8" x14ac:dyDescent="0.25">
      <c r="A8" s="10">
        <v>46265</v>
      </c>
      <c r="B8" t="s">
        <v>63</v>
      </c>
      <c r="C8" s="9">
        <v>9825</v>
      </c>
      <c r="E8" t="s">
        <v>64</v>
      </c>
    </row>
    <row r="9" spans="1:8" x14ac:dyDescent="0.25">
      <c r="A9" s="10">
        <v>46265</v>
      </c>
      <c r="B9" t="s">
        <v>65</v>
      </c>
      <c r="C9" s="9">
        <v>37237</v>
      </c>
      <c r="E9" t="s">
        <v>66</v>
      </c>
    </row>
    <row r="10" spans="1:8" x14ac:dyDescent="0.25">
      <c r="A10" s="10">
        <v>46265</v>
      </c>
      <c r="B10" t="s">
        <v>67</v>
      </c>
      <c r="C10" s="9">
        <v>7618</v>
      </c>
      <c r="E10" t="s">
        <v>68</v>
      </c>
    </row>
    <row r="11" spans="1:8" x14ac:dyDescent="0.25">
      <c r="A11" s="10">
        <v>46265</v>
      </c>
      <c r="B11" t="s">
        <v>69</v>
      </c>
      <c r="C11" s="9">
        <v>8872</v>
      </c>
      <c r="E11" t="s">
        <v>70</v>
      </c>
    </row>
    <row r="12" spans="1:8" x14ac:dyDescent="0.25">
      <c r="A12" s="10">
        <v>46265</v>
      </c>
      <c r="B12" t="s">
        <v>71</v>
      </c>
      <c r="C12" s="9">
        <v>1100</v>
      </c>
    </row>
    <row r="13" spans="1:8" x14ac:dyDescent="0.25">
      <c r="A13" s="10">
        <v>46268</v>
      </c>
      <c r="B13" t="s">
        <v>75</v>
      </c>
      <c r="C13" s="9">
        <v>51000</v>
      </c>
      <c r="E13" t="s">
        <v>75</v>
      </c>
    </row>
    <row r="14" spans="1:8" x14ac:dyDescent="0.25">
      <c r="A14" s="10">
        <v>46274</v>
      </c>
      <c r="B14" t="s">
        <v>82</v>
      </c>
      <c r="C14" s="9">
        <v>1000</v>
      </c>
    </row>
    <row r="15" spans="1:8" x14ac:dyDescent="0.25">
      <c r="A15" s="10">
        <v>46280</v>
      </c>
      <c r="B15" t="s">
        <v>84</v>
      </c>
      <c r="C15" s="9">
        <v>2000</v>
      </c>
      <c r="E15" t="s">
        <v>85</v>
      </c>
    </row>
    <row r="16" spans="1:8" x14ac:dyDescent="0.25">
      <c r="A16" s="10">
        <v>46280</v>
      </c>
      <c r="B16" t="s">
        <v>60</v>
      </c>
      <c r="C16" s="9">
        <v>33000</v>
      </c>
    </row>
    <row r="17" spans="1:3" x14ac:dyDescent="0.25">
      <c r="A17" s="10">
        <v>46280</v>
      </c>
      <c r="B17" t="s">
        <v>75</v>
      </c>
      <c r="C17" s="9">
        <v>49500</v>
      </c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E4" sqref="E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C4" sqref="C4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1200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1200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tabSelected="1" workbookViewId="0">
      <pane ySplit="3" topLeftCell="A19" activePane="bottomLeft" state="frozen"/>
      <selection pane="bottomLeft" activeCell="H29" sqref="H2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15592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74</v>
      </c>
      <c r="C19" s="9">
        <v>140</v>
      </c>
    </row>
    <row r="20" spans="1:5" x14ac:dyDescent="0.25">
      <c r="A20" s="8">
        <v>46269</v>
      </c>
      <c r="B20" t="s">
        <v>78</v>
      </c>
      <c r="C20" s="9">
        <v>105</v>
      </c>
    </row>
    <row r="21" spans="1:5" x14ac:dyDescent="0.25">
      <c r="A21" s="8">
        <v>46269</v>
      </c>
      <c r="B21" t="s">
        <v>74</v>
      </c>
      <c r="C21" s="9">
        <v>120</v>
      </c>
    </row>
    <row r="22" spans="1:5" x14ac:dyDescent="0.25">
      <c r="A22" s="10">
        <v>46269</v>
      </c>
      <c r="B22" t="s">
        <v>79</v>
      </c>
      <c r="C22" s="9">
        <v>900</v>
      </c>
    </row>
    <row r="23" spans="1:5" x14ac:dyDescent="0.25">
      <c r="A23" s="8">
        <v>46270</v>
      </c>
      <c r="B23" t="s">
        <v>74</v>
      </c>
      <c r="C23" s="9">
        <v>150</v>
      </c>
    </row>
    <row r="24" spans="1:5" x14ac:dyDescent="0.25">
      <c r="A24" s="8">
        <v>46270</v>
      </c>
      <c r="B24" t="s">
        <v>80</v>
      </c>
      <c r="C24" s="9">
        <v>100</v>
      </c>
    </row>
    <row r="25" spans="1:5" x14ac:dyDescent="0.25">
      <c r="A25" s="8">
        <v>46271</v>
      </c>
      <c r="B25" t="s">
        <v>74</v>
      </c>
      <c r="C25" s="9">
        <v>34</v>
      </c>
    </row>
    <row r="26" spans="1:5" x14ac:dyDescent="0.25">
      <c r="A26" s="8">
        <v>46272</v>
      </c>
      <c r="B26" t="s">
        <v>74</v>
      </c>
      <c r="C26" s="9">
        <v>90</v>
      </c>
    </row>
    <row r="27" spans="1:5" x14ac:dyDescent="0.25">
      <c r="A27" s="8">
        <v>46273</v>
      </c>
      <c r="B27" t="s">
        <v>74</v>
      </c>
      <c r="C27" s="9">
        <v>90</v>
      </c>
    </row>
    <row r="28" spans="1:5" x14ac:dyDescent="0.25">
      <c r="A28" s="8">
        <v>46274</v>
      </c>
      <c r="B28" t="s">
        <v>74</v>
      </c>
      <c r="C28" s="9">
        <v>90</v>
      </c>
    </row>
    <row r="29" spans="1:5" x14ac:dyDescent="0.25">
      <c r="A29" s="8">
        <v>46275</v>
      </c>
      <c r="B29" t="s">
        <v>74</v>
      </c>
      <c r="C29" s="9">
        <v>90</v>
      </c>
    </row>
    <row r="30" spans="1:5" x14ac:dyDescent="0.25">
      <c r="A30" s="8">
        <v>46276</v>
      </c>
      <c r="B30" t="s">
        <v>74</v>
      </c>
      <c r="C30" s="9">
        <v>24</v>
      </c>
    </row>
    <row r="31" spans="1:5" x14ac:dyDescent="0.25">
      <c r="A31" s="8">
        <v>46278</v>
      </c>
      <c r="B31" t="s">
        <v>37</v>
      </c>
      <c r="C31" s="9">
        <v>150</v>
      </c>
    </row>
    <row r="32" spans="1:5" x14ac:dyDescent="0.25">
      <c r="A32" s="8">
        <v>46278</v>
      </c>
      <c r="B32" t="s">
        <v>74</v>
      </c>
      <c r="C32" s="9">
        <v>150</v>
      </c>
    </row>
    <row r="33" spans="1:5" x14ac:dyDescent="0.25">
      <c r="A33" s="8">
        <v>46279</v>
      </c>
      <c r="B33" t="s">
        <v>74</v>
      </c>
      <c r="C33" s="9">
        <v>24</v>
      </c>
    </row>
    <row r="34" spans="1:5" x14ac:dyDescent="0.25">
      <c r="A34" s="8">
        <v>46280</v>
      </c>
      <c r="B34" t="s">
        <v>74</v>
      </c>
      <c r="C34" s="9">
        <v>70</v>
      </c>
    </row>
    <row r="35" spans="1:5" x14ac:dyDescent="0.25">
      <c r="A35" s="8">
        <v>46257</v>
      </c>
      <c r="B35" t="s">
        <v>28</v>
      </c>
      <c r="C35" s="9">
        <v>500</v>
      </c>
      <c r="D35" t="s">
        <v>27</v>
      </c>
      <c r="E35" t="s">
        <v>28</v>
      </c>
    </row>
    <row r="36" spans="1:5" x14ac:dyDescent="0.25">
      <c r="A36" s="8"/>
      <c r="C36" s="9"/>
    </row>
    <row r="37" spans="1:5" x14ac:dyDescent="0.25">
      <c r="A37" s="8"/>
      <c r="C37" s="9"/>
    </row>
    <row r="38" spans="1:5" x14ac:dyDescent="0.25">
      <c r="A38" s="8"/>
      <c r="C38" s="9"/>
    </row>
    <row r="39" spans="1:5" x14ac:dyDescent="0.25">
      <c r="A39" s="8"/>
      <c r="C39" s="9"/>
    </row>
    <row r="40" spans="1:5" x14ac:dyDescent="0.25">
      <c r="A40" s="8"/>
      <c r="C40" s="9"/>
    </row>
    <row r="41" spans="1:5" x14ac:dyDescent="0.25">
      <c r="A41" s="8"/>
      <c r="C41" s="9"/>
    </row>
    <row r="42" spans="1:5" x14ac:dyDescent="0.25">
      <c r="A42" s="8"/>
      <c r="C42" s="9"/>
    </row>
    <row r="43" spans="1:5" x14ac:dyDescent="0.25">
      <c r="A43" s="8"/>
      <c r="C43" s="9"/>
    </row>
    <row r="44" spans="1:5" x14ac:dyDescent="0.25">
      <c r="A44" s="8"/>
      <c r="C44" s="9"/>
    </row>
    <row r="45" spans="1:5" x14ac:dyDescent="0.25">
      <c r="A45" s="8"/>
      <c r="C45" s="9"/>
    </row>
    <row r="46" spans="1:5" x14ac:dyDescent="0.25">
      <c r="A46" s="8"/>
      <c r="C46" s="9"/>
    </row>
    <row r="47" spans="1:5" x14ac:dyDescent="0.25">
      <c r="A47" s="8"/>
      <c r="C47" s="9"/>
    </row>
    <row r="48" spans="1:5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</vt:lpstr>
      <vt:lpstr>Builder</vt:lpstr>
      <vt:lpstr>Material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2026-09-15T16:39:38Z</dcterms:modified>
</cp:coreProperties>
</file>